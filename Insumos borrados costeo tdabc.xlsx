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rtin Bastidas M\Desktop\Costos TDABC\Costos 1_Streamlit\"/>
    </mc:Choice>
  </mc:AlternateContent>
  <xr:revisionPtr revIDLastSave="0" documentId="13_ncr:1_{03DC583B-36FC-4021-82AC-E667960ED1F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Insumos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2" l="1"/>
  <c r="F73" i="2"/>
  <c r="F56" i="2"/>
  <c r="E56" i="2"/>
  <c r="D47" i="2"/>
  <c r="H74" i="2" l="1"/>
  <c r="G74" i="2"/>
  <c r="G73" i="2"/>
  <c r="F74" i="2"/>
  <c r="E74" i="2"/>
  <c r="E73" i="2"/>
  <c r="D74" i="2"/>
  <c r="D73" i="2"/>
  <c r="H66" i="2"/>
  <c r="H67" i="2"/>
  <c r="H68" i="2"/>
  <c r="H65" i="2"/>
  <c r="G66" i="2"/>
  <c r="G67" i="2"/>
  <c r="G68" i="2"/>
  <c r="G65" i="2"/>
  <c r="F66" i="2"/>
  <c r="F67" i="2"/>
  <c r="F68" i="2"/>
  <c r="F65" i="2"/>
  <c r="E68" i="2"/>
  <c r="E67" i="2"/>
  <c r="E66" i="2"/>
  <c r="E65" i="2"/>
  <c r="B65" i="2"/>
  <c r="C65" i="2"/>
  <c r="B66" i="2"/>
  <c r="C66" i="2"/>
  <c r="B67" i="2"/>
  <c r="C67" i="2"/>
  <c r="B68" i="2"/>
  <c r="C68" i="2"/>
  <c r="C64" i="2"/>
  <c r="B64" i="2"/>
  <c r="F57" i="2"/>
  <c r="F58" i="2"/>
  <c r="F59" i="2"/>
  <c r="E57" i="2"/>
  <c r="E58" i="2"/>
  <c r="E59" i="2"/>
  <c r="D57" i="2"/>
  <c r="D58" i="2"/>
  <c r="D59" i="2"/>
  <c r="D56" i="2"/>
  <c r="C59" i="2"/>
  <c r="B59" i="2"/>
  <c r="C58" i="2"/>
  <c r="B58" i="2"/>
  <c r="C57" i="2"/>
  <c r="B57" i="2"/>
  <c r="C56" i="2"/>
  <c r="B56" i="2"/>
  <c r="D50" i="2"/>
  <c r="D49" i="2"/>
  <c r="D48" i="2"/>
  <c r="C48" i="2"/>
  <c r="C49" i="2"/>
  <c r="C50" i="2"/>
  <c r="C47" i="2"/>
  <c r="B48" i="2"/>
  <c r="B49" i="2"/>
  <c r="B50" i="2"/>
  <c r="B47" i="2"/>
  <c r="E39" i="2"/>
  <c r="E38" i="2"/>
  <c r="D39" i="2"/>
  <c r="D38" i="2"/>
  <c r="C39" i="2"/>
  <c r="C38" i="2"/>
</calcChain>
</file>

<file path=xl/sharedStrings.xml><?xml version="1.0" encoding="utf-8"?>
<sst xmlns="http://schemas.openxmlformats.org/spreadsheetml/2006/main" count="108" uniqueCount="76">
  <si>
    <t>Compras</t>
  </si>
  <si>
    <t>Actividad</t>
  </si>
  <si>
    <t xml:space="preserve">Fase 0 - Insumos </t>
  </si>
  <si>
    <t>id_Departmaneto (Auto)</t>
  </si>
  <si>
    <t>D1</t>
  </si>
  <si>
    <t>D2</t>
  </si>
  <si>
    <t xml:space="preserve">Nombre del departamento </t>
  </si>
  <si>
    <t>Overhead Mensual</t>
  </si>
  <si>
    <t># Empleados</t>
  </si>
  <si>
    <t>Horas pagadas/dia</t>
  </si>
  <si>
    <t>Dias laborados/mes</t>
  </si>
  <si>
    <t>% tiempo improductivo</t>
  </si>
  <si>
    <t xml:space="preserve">Cuentas por Pagar </t>
  </si>
  <si>
    <t>Tabla 1 Departamentos</t>
  </si>
  <si>
    <t xml:space="preserve">Tabla 2 Actividades </t>
  </si>
  <si>
    <t>id_departamento</t>
  </si>
  <si>
    <t>id_actividad</t>
  </si>
  <si>
    <t>A1</t>
  </si>
  <si>
    <t>A2</t>
  </si>
  <si>
    <t>A3</t>
  </si>
  <si>
    <t>A4</t>
  </si>
  <si>
    <t>Nombre de la actividad</t>
  </si>
  <si>
    <t>Solicitar Compras</t>
  </si>
  <si>
    <t>Realizar reclamos</t>
  </si>
  <si>
    <t>Procesar factura de proveedor</t>
  </si>
  <si>
    <t>Emitir pago a proveedores</t>
  </si>
  <si>
    <t>Tiempo estandar (Min)</t>
  </si>
  <si>
    <t xml:space="preserve">Volumen Mensual </t>
  </si>
  <si>
    <t>Tabla 3 Variables de las ecuaciones de tiempo</t>
  </si>
  <si>
    <t xml:space="preserve">id_actividad </t>
  </si>
  <si>
    <t>id_variable</t>
  </si>
  <si>
    <t>X1</t>
  </si>
  <si>
    <t>X2</t>
  </si>
  <si>
    <t>Descripción de la varaible</t>
  </si>
  <si>
    <t>Proveedor Nuevo</t>
  </si>
  <si>
    <t>Orden Urgente</t>
  </si>
  <si>
    <t xml:space="preserve">Reclamo nuevo </t>
  </si>
  <si>
    <t>Respuesta del proveedor via e-mail</t>
  </si>
  <si>
    <t>Factura con retenciones e impuestos</t>
  </si>
  <si>
    <t xml:space="preserve">Proveedor nuevo </t>
  </si>
  <si>
    <t xml:space="preserve">Pago por transferencia </t>
  </si>
  <si>
    <t xml:space="preserve">Pago urgente / Anticipo a proveedor </t>
  </si>
  <si>
    <t>Coeficiente</t>
  </si>
  <si>
    <t xml:space="preserve">Valor Xi </t>
  </si>
  <si>
    <t>Objeto del costo</t>
  </si>
  <si>
    <t>Costo de procesar ordenes</t>
  </si>
  <si>
    <t>Costo de atender reclamaciones</t>
  </si>
  <si>
    <t xml:space="preserve">Costo de procesar facturas </t>
  </si>
  <si>
    <t xml:space="preserve">Costo de gestionar pagos </t>
  </si>
  <si>
    <t>Fase - 1</t>
  </si>
  <si>
    <t xml:space="preserve">Capacidad practica y tas costo/minuto </t>
  </si>
  <si>
    <t>Cpacidad practica</t>
  </si>
  <si>
    <t>Overhead</t>
  </si>
  <si>
    <t>Tasa ($/min)</t>
  </si>
  <si>
    <t>Fase - 2</t>
  </si>
  <si>
    <t xml:space="preserve">Tiempo por transacción de cada actividad </t>
  </si>
  <si>
    <t>id_dep</t>
  </si>
  <si>
    <t xml:space="preserve">Actividad </t>
  </si>
  <si>
    <t>Fase - 3</t>
  </si>
  <si>
    <t>Tiempo consumido total por actividad</t>
  </si>
  <si>
    <t xml:space="preserve">Volumen </t>
  </si>
  <si>
    <t>Tiempo/tx</t>
  </si>
  <si>
    <t>Tiempo total</t>
  </si>
  <si>
    <t>Fase - 4</t>
  </si>
  <si>
    <t xml:space="preserve">Costo por actividad y costo unitario </t>
  </si>
  <si>
    <t>Tasa</t>
  </si>
  <si>
    <t xml:space="preserve">Costo actividad </t>
  </si>
  <si>
    <t xml:space="preserve">Costo Unitario </t>
  </si>
  <si>
    <t>Fase - 5</t>
  </si>
  <si>
    <t xml:space="preserve">Departamento </t>
  </si>
  <si>
    <t xml:space="preserve">Compras </t>
  </si>
  <si>
    <t xml:space="preserve">Cap. Practica </t>
  </si>
  <si>
    <t xml:space="preserve">Min. Consumidos </t>
  </si>
  <si>
    <t>Cap. No usada</t>
  </si>
  <si>
    <t>Costo osciosidad</t>
  </si>
  <si>
    <t xml:space="preserve">% Osciosidad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</si>
</sst>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10" fontId="0" fillId="0" borderId="0" xfId="2" applyNumberFormat="1" applyFont="1"/>
    <xf numFmtId="43" fontId="0" fillId="0" borderId="0" xfId="1" applyFont="1"/>
    <xf numFmtId="0" fontId="0" fillId="0" borderId="1" xfId="0" applyBorder="1"/>
    <xf numFmtId="43" fontId="0" fillId="0" borderId="1" xfId="1" applyFont="1" applyBorder="1"/>
    <xf numFmtId="9" fontId="0" fillId="0" borderId="1" xfId="0" applyNumberFormat="1" applyBorder="1"/>
    <xf numFmtId="0" fontId="0" fillId="0" borderId="1" xfId="0" applyBorder="1" applyAlignment="1">
      <alignment horizontal="left" vertical="top" wrapText="1"/>
    </xf>
    <xf numFmtId="43" fontId="0" fillId="0" borderId="0" xfId="0" applyNumberFormat="1"/>
    <xf numFmtId="2" fontId="0" fillId="0" borderId="0" xfId="0" applyNumberFormat="1"/>
    <xf numFmtId="44" fontId="0" fillId="0" borderId="0" xfId="3" applyFont="1"/>
    <xf numFmtId="44" fontId="0" fillId="0" borderId="0" xfId="0" applyNumberFormat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DA6FC69-C997-43BC-A6A7-AAFBB6EAB33B}">
  <we:reference id="wa200010725" version="1.0.0.1" store="es-ES" storeType="OMEX"/>
  <we:alternateReferences>
    <we:reference id="wa200010725" version="1.0.0.1" store="WA200010725" storeType="OMEX"/>
  </we:alternateReferences>
  <we:properties>
    <we:property name="claude.fileId" value="&quot;2e19c141-c1f4-4ef1-a6d5-07f66385413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38A5E-1F33-4A6E-AE16-C08A034090FF}">
  <dimension ref="B4:H74"/>
  <sheetViews>
    <sheetView tabSelected="1" topLeftCell="A20" zoomScale="72" workbookViewId="0">
      <selection activeCell="G74" sqref="G74"/>
    </sheetView>
  </sheetViews>
  <sheetFormatPr baseColWidth="10" defaultRowHeight="14.25" x14ac:dyDescent="0.45"/>
  <cols>
    <col min="2" max="2" width="23.86328125" customWidth="1"/>
    <col min="3" max="3" width="28.53125" customWidth="1"/>
    <col min="4" max="4" width="30.33203125" customWidth="1"/>
    <col min="5" max="5" width="28.19921875" customWidth="1"/>
    <col min="6" max="6" width="18.6640625" customWidth="1"/>
    <col min="7" max="7" width="19.796875" customWidth="1"/>
    <col min="8" max="8" width="20.796875" customWidth="1"/>
  </cols>
  <sheetData>
    <row r="4" spans="2:8" x14ac:dyDescent="0.45">
      <c r="B4" s="1" t="s">
        <v>2</v>
      </c>
    </row>
    <row r="6" spans="2:8" x14ac:dyDescent="0.45">
      <c r="B6" s="2" t="s">
        <v>13</v>
      </c>
    </row>
    <row r="8" spans="2:8" x14ac:dyDescent="0.45">
      <c r="B8" s="5" t="s">
        <v>3</v>
      </c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</row>
    <row r="9" spans="2:8" x14ac:dyDescent="0.45">
      <c r="B9" s="5" t="s">
        <v>4</v>
      </c>
      <c r="C9" s="5" t="s">
        <v>0</v>
      </c>
      <c r="D9" s="6">
        <v>12000000</v>
      </c>
      <c r="E9" s="5">
        <v>3</v>
      </c>
      <c r="F9" s="5">
        <v>8</v>
      </c>
      <c r="G9" s="5">
        <v>25</v>
      </c>
      <c r="H9" s="7">
        <v>0.2</v>
      </c>
    </row>
    <row r="10" spans="2:8" x14ac:dyDescent="0.45">
      <c r="B10" s="5" t="s">
        <v>5</v>
      </c>
      <c r="C10" s="5" t="s">
        <v>12</v>
      </c>
      <c r="D10" s="6">
        <v>8000000</v>
      </c>
      <c r="E10" s="5">
        <v>2</v>
      </c>
      <c r="F10" s="5">
        <v>8</v>
      </c>
      <c r="G10" s="5">
        <v>25</v>
      </c>
      <c r="H10" s="7">
        <v>0.2</v>
      </c>
    </row>
    <row r="12" spans="2:8" x14ac:dyDescent="0.45">
      <c r="B12" s="2" t="s">
        <v>14</v>
      </c>
    </row>
    <row r="13" spans="2:8" x14ac:dyDescent="0.45">
      <c r="B13" s="2"/>
    </row>
    <row r="14" spans="2:8" x14ac:dyDescent="0.45">
      <c r="B14" s="5" t="s">
        <v>15</v>
      </c>
      <c r="C14" s="5" t="s">
        <v>16</v>
      </c>
      <c r="D14" s="5" t="s">
        <v>21</v>
      </c>
      <c r="E14" s="5" t="s">
        <v>44</v>
      </c>
      <c r="F14" s="5" t="s">
        <v>26</v>
      </c>
      <c r="G14" s="5" t="s">
        <v>27</v>
      </c>
    </row>
    <row r="15" spans="2:8" ht="27" customHeight="1" x14ac:dyDescent="0.45">
      <c r="B15" s="5" t="s">
        <v>4</v>
      </c>
      <c r="C15" s="5" t="s">
        <v>17</v>
      </c>
      <c r="D15" s="8" t="s">
        <v>22</v>
      </c>
      <c r="E15" s="5" t="s">
        <v>45</v>
      </c>
      <c r="F15" s="5">
        <v>4</v>
      </c>
      <c r="G15" s="5">
        <v>500</v>
      </c>
    </row>
    <row r="16" spans="2:8" ht="27" customHeight="1" x14ac:dyDescent="0.45">
      <c r="B16" s="5" t="s">
        <v>4</v>
      </c>
      <c r="C16" s="5" t="s">
        <v>18</v>
      </c>
      <c r="D16" s="8" t="s">
        <v>23</v>
      </c>
      <c r="E16" s="5" t="s">
        <v>46</v>
      </c>
      <c r="F16" s="5">
        <v>15</v>
      </c>
      <c r="G16" s="5">
        <v>80</v>
      </c>
    </row>
    <row r="17" spans="2:7" ht="27" customHeight="1" x14ac:dyDescent="0.45">
      <c r="B17" s="5" t="s">
        <v>5</v>
      </c>
      <c r="C17" s="5" t="s">
        <v>19</v>
      </c>
      <c r="D17" s="8" t="s">
        <v>24</v>
      </c>
      <c r="E17" s="5" t="s">
        <v>47</v>
      </c>
      <c r="F17" s="5">
        <v>6</v>
      </c>
      <c r="G17" s="5">
        <v>400</v>
      </c>
    </row>
    <row r="18" spans="2:7" ht="27" customHeight="1" x14ac:dyDescent="0.45">
      <c r="B18" s="5" t="s">
        <v>5</v>
      </c>
      <c r="C18" s="5" t="s">
        <v>20</v>
      </c>
      <c r="D18" s="8" t="s">
        <v>25</v>
      </c>
      <c r="E18" s="5" t="s">
        <v>48</v>
      </c>
      <c r="F18" s="5">
        <v>5</v>
      </c>
      <c r="G18" s="5">
        <v>250</v>
      </c>
    </row>
    <row r="20" spans="2:7" x14ac:dyDescent="0.45">
      <c r="B20" s="2" t="s">
        <v>28</v>
      </c>
    </row>
    <row r="22" spans="2:7" x14ac:dyDescent="0.45">
      <c r="B22" s="5" t="s">
        <v>29</v>
      </c>
      <c r="C22" s="5" t="s">
        <v>30</v>
      </c>
      <c r="D22" s="5" t="s">
        <v>33</v>
      </c>
      <c r="E22" s="5" t="s">
        <v>42</v>
      </c>
      <c r="F22" s="5" t="s">
        <v>43</v>
      </c>
    </row>
    <row r="23" spans="2:7" x14ac:dyDescent="0.45">
      <c r="B23" s="5" t="s">
        <v>17</v>
      </c>
      <c r="C23" s="5" t="s">
        <v>31</v>
      </c>
      <c r="D23" s="5" t="s">
        <v>34</v>
      </c>
      <c r="E23" s="5">
        <v>10</v>
      </c>
      <c r="F23" s="5">
        <v>1</v>
      </c>
    </row>
    <row r="24" spans="2:7" x14ac:dyDescent="0.45">
      <c r="B24" s="5" t="s">
        <v>17</v>
      </c>
      <c r="C24" s="5" t="s">
        <v>32</v>
      </c>
      <c r="D24" s="5" t="s">
        <v>35</v>
      </c>
      <c r="E24" s="5">
        <v>15</v>
      </c>
      <c r="F24" s="5">
        <v>1</v>
      </c>
    </row>
    <row r="25" spans="2:7" x14ac:dyDescent="0.45">
      <c r="B25" s="5" t="s">
        <v>18</v>
      </c>
      <c r="C25" s="5" t="s">
        <v>31</v>
      </c>
      <c r="D25" s="5" t="s">
        <v>36</v>
      </c>
      <c r="E25" s="5">
        <v>10</v>
      </c>
      <c r="F25" s="5">
        <v>1</v>
      </c>
    </row>
    <row r="26" spans="2:7" x14ac:dyDescent="0.45">
      <c r="B26" s="5" t="s">
        <v>18</v>
      </c>
      <c r="C26" s="5" t="s">
        <v>32</v>
      </c>
      <c r="D26" s="5" t="s">
        <v>37</v>
      </c>
      <c r="E26" s="5">
        <v>10</v>
      </c>
      <c r="F26" s="5">
        <v>1</v>
      </c>
    </row>
    <row r="27" spans="2:7" x14ac:dyDescent="0.45">
      <c r="B27" s="5" t="s">
        <v>19</v>
      </c>
      <c r="C27" s="5" t="s">
        <v>31</v>
      </c>
      <c r="D27" s="5" t="s">
        <v>38</v>
      </c>
      <c r="E27" s="5">
        <v>8</v>
      </c>
      <c r="F27" s="5">
        <v>1</v>
      </c>
    </row>
    <row r="28" spans="2:7" x14ac:dyDescent="0.45">
      <c r="B28" s="5" t="s">
        <v>19</v>
      </c>
      <c r="C28" s="5" t="s">
        <v>32</v>
      </c>
      <c r="D28" s="5" t="s">
        <v>39</v>
      </c>
      <c r="E28" s="5">
        <v>12</v>
      </c>
      <c r="F28" s="5">
        <v>1</v>
      </c>
    </row>
    <row r="29" spans="2:7" x14ac:dyDescent="0.45">
      <c r="B29" s="5" t="s">
        <v>20</v>
      </c>
      <c r="C29" s="5" t="s">
        <v>31</v>
      </c>
      <c r="D29" s="5" t="s">
        <v>40</v>
      </c>
      <c r="E29" s="5">
        <v>10</v>
      </c>
      <c r="F29" s="5">
        <v>1</v>
      </c>
    </row>
    <row r="30" spans="2:7" x14ac:dyDescent="0.45">
      <c r="B30" s="5" t="s">
        <v>20</v>
      </c>
      <c r="C30" s="5" t="s">
        <v>32</v>
      </c>
      <c r="D30" s="5" t="s">
        <v>41</v>
      </c>
      <c r="E30" s="5">
        <v>7</v>
      </c>
      <c r="F30" s="5">
        <v>1</v>
      </c>
    </row>
    <row r="33" spans="2:5" x14ac:dyDescent="0.45">
      <c r="B33" s="1" t="s">
        <v>49</v>
      </c>
    </row>
    <row r="35" spans="2:5" x14ac:dyDescent="0.45">
      <c r="B35" s="2" t="s">
        <v>50</v>
      </c>
    </row>
    <row r="36" spans="2:5" x14ac:dyDescent="0.45">
      <c r="B36" s="2"/>
    </row>
    <row r="37" spans="2:5" x14ac:dyDescent="0.45">
      <c r="B37" t="s">
        <v>56</v>
      </c>
      <c r="C37" t="s">
        <v>51</v>
      </c>
      <c r="D37" t="s">
        <v>52</v>
      </c>
      <c r="E37" t="s">
        <v>53</v>
      </c>
    </row>
    <row r="38" spans="2:5" x14ac:dyDescent="0.45">
      <c r="B38" t="s">
        <v>4</v>
      </c>
      <c r="C38" s="4">
        <f>E9*F9*G9*60*(1-H9)</f>
        <v>28800</v>
      </c>
      <c r="D38" s="9">
        <f>D9</f>
        <v>12000000</v>
      </c>
      <c r="E38" s="10">
        <f>D38/C38</f>
        <v>416.66666666666669</v>
      </c>
    </row>
    <row r="39" spans="2:5" x14ac:dyDescent="0.45">
      <c r="B39" t="s">
        <v>5</v>
      </c>
      <c r="C39" s="4">
        <f>E10*F10*G10*60*(1-H10)</f>
        <v>19200</v>
      </c>
      <c r="D39" s="9">
        <f>D10</f>
        <v>8000000</v>
      </c>
      <c r="E39" s="10">
        <f>D39/C39</f>
        <v>416.66666666666669</v>
      </c>
    </row>
    <row r="42" spans="2:5" x14ac:dyDescent="0.45">
      <c r="B42" s="1" t="s">
        <v>54</v>
      </c>
    </row>
    <row r="44" spans="2:5" x14ac:dyDescent="0.45">
      <c r="B44" s="2" t="s">
        <v>55</v>
      </c>
    </row>
    <row r="46" spans="2:5" x14ac:dyDescent="0.45">
      <c r="B46" t="s">
        <v>16</v>
      </c>
      <c r="C46" t="s">
        <v>57</v>
      </c>
    </row>
    <row r="47" spans="2:5" x14ac:dyDescent="0.45">
      <c r="B47" t="str">
        <f>C15</f>
        <v>A1</v>
      </c>
      <c r="C47" t="str">
        <f>D15</f>
        <v>Solicitar Compras</v>
      </c>
      <c r="D47">
        <f>F15+E23*F23+E24*F24</f>
        <v>29</v>
      </c>
    </row>
    <row r="48" spans="2:5" x14ac:dyDescent="0.45">
      <c r="B48" t="str">
        <f t="shared" ref="B48:C50" si="0">C16</f>
        <v>A2</v>
      </c>
      <c r="C48" t="str">
        <f t="shared" si="0"/>
        <v>Realizar reclamos</v>
      </c>
      <c r="D48">
        <f>F16+E25*F25+E26*F26</f>
        <v>35</v>
      </c>
    </row>
    <row r="49" spans="2:8" x14ac:dyDescent="0.45">
      <c r="B49" t="str">
        <f t="shared" si="0"/>
        <v>A3</v>
      </c>
      <c r="C49" t="str">
        <f t="shared" si="0"/>
        <v>Procesar factura de proveedor</v>
      </c>
      <c r="D49">
        <f>F17+E27*F27+E28*F28</f>
        <v>26</v>
      </c>
    </row>
    <row r="50" spans="2:8" x14ac:dyDescent="0.45">
      <c r="B50" t="str">
        <f t="shared" si="0"/>
        <v>A4</v>
      </c>
      <c r="C50" t="str">
        <f t="shared" si="0"/>
        <v>Emitir pago a proveedores</v>
      </c>
      <c r="D50">
        <f>F18+E29*F29+E30*F30</f>
        <v>22</v>
      </c>
    </row>
    <row r="52" spans="2:8" x14ac:dyDescent="0.45">
      <c r="B52" s="1" t="s">
        <v>58</v>
      </c>
    </row>
    <row r="54" spans="2:8" x14ac:dyDescent="0.45">
      <c r="B54" s="2" t="s">
        <v>59</v>
      </c>
    </row>
    <row r="55" spans="2:8" x14ac:dyDescent="0.45">
      <c r="B55" t="s">
        <v>29</v>
      </c>
      <c r="C55" t="s">
        <v>1</v>
      </c>
      <c r="D55" t="s">
        <v>60</v>
      </c>
      <c r="E55" t="s">
        <v>61</v>
      </c>
      <c r="F55" t="s">
        <v>62</v>
      </c>
    </row>
    <row r="56" spans="2:8" x14ac:dyDescent="0.45">
      <c r="B56" t="str">
        <f>B47</f>
        <v>A1</v>
      </c>
      <c r="C56" t="str">
        <f t="shared" ref="C56:C59" si="1">C47</f>
        <v>Solicitar Compras</v>
      </c>
      <c r="D56">
        <f>G15</f>
        <v>500</v>
      </c>
      <c r="E56">
        <f>D47</f>
        <v>29</v>
      </c>
      <c r="F56">
        <f>D56*E56</f>
        <v>14500</v>
      </c>
    </row>
    <row r="57" spans="2:8" x14ac:dyDescent="0.45">
      <c r="B57" t="str">
        <f t="shared" ref="B57" si="2">B48</f>
        <v>A2</v>
      </c>
      <c r="C57" t="str">
        <f t="shared" si="1"/>
        <v>Realizar reclamos</v>
      </c>
      <c r="D57">
        <f t="shared" ref="D57:D59" si="3">G16</f>
        <v>80</v>
      </c>
      <c r="E57">
        <f t="shared" ref="E57:E59" si="4">D48</f>
        <v>35</v>
      </c>
      <c r="F57">
        <f t="shared" ref="F57:F59" si="5">D57*E57</f>
        <v>2800</v>
      </c>
    </row>
    <row r="58" spans="2:8" x14ac:dyDescent="0.45">
      <c r="B58" t="str">
        <f t="shared" ref="B58" si="6">B49</f>
        <v>A3</v>
      </c>
      <c r="C58" t="str">
        <f t="shared" si="1"/>
        <v>Procesar factura de proveedor</v>
      </c>
      <c r="D58">
        <f t="shared" si="3"/>
        <v>400</v>
      </c>
      <c r="E58">
        <f t="shared" si="4"/>
        <v>26</v>
      </c>
      <c r="F58">
        <f t="shared" si="5"/>
        <v>10400</v>
      </c>
    </row>
    <row r="59" spans="2:8" x14ac:dyDescent="0.45">
      <c r="B59" t="str">
        <f t="shared" ref="B59" si="7">B50</f>
        <v>A4</v>
      </c>
      <c r="C59" t="str">
        <f t="shared" si="1"/>
        <v>Emitir pago a proveedores</v>
      </c>
      <c r="D59">
        <f t="shared" si="3"/>
        <v>250</v>
      </c>
      <c r="E59">
        <f t="shared" si="4"/>
        <v>22</v>
      </c>
      <c r="F59">
        <f t="shared" si="5"/>
        <v>5500</v>
      </c>
    </row>
    <row r="61" spans="2:8" x14ac:dyDescent="0.45">
      <c r="B61" s="1" t="s">
        <v>63</v>
      </c>
    </row>
    <row r="63" spans="2:8" x14ac:dyDescent="0.45">
      <c r="B63" s="2" t="s">
        <v>64</v>
      </c>
    </row>
    <row r="64" spans="2:8" x14ac:dyDescent="0.45">
      <c r="B64" t="str">
        <f>B55</f>
        <v xml:space="preserve">id_actividad </v>
      </c>
      <c r="C64" t="str">
        <f>C55</f>
        <v>Actividad</v>
      </c>
      <c r="D64" t="s">
        <v>56</v>
      </c>
      <c r="E64" t="s">
        <v>65</v>
      </c>
      <c r="F64" t="s">
        <v>66</v>
      </c>
      <c r="G64" t="s">
        <v>60</v>
      </c>
      <c r="H64" t="s">
        <v>67</v>
      </c>
    </row>
    <row r="65" spans="2:8" x14ac:dyDescent="0.45">
      <c r="B65" t="str">
        <f t="shared" ref="B65:C65" si="8">B56</f>
        <v>A1</v>
      </c>
      <c r="C65" t="str">
        <f t="shared" si="8"/>
        <v>Solicitar Compras</v>
      </c>
      <c r="D65" t="s">
        <v>4</v>
      </c>
      <c r="E65" s="10">
        <f>E38</f>
        <v>416.66666666666669</v>
      </c>
      <c r="F65" s="11">
        <f>E65*F56</f>
        <v>6041666.666666667</v>
      </c>
      <c r="G65">
        <f>D56</f>
        <v>500</v>
      </c>
      <c r="H65" s="12">
        <f>F65/G65</f>
        <v>12083.333333333334</v>
      </c>
    </row>
    <row r="66" spans="2:8" x14ac:dyDescent="0.45">
      <c r="B66" t="str">
        <f t="shared" ref="B66:C66" si="9">B57</f>
        <v>A2</v>
      </c>
      <c r="C66" t="str">
        <f t="shared" si="9"/>
        <v>Realizar reclamos</v>
      </c>
      <c r="D66" t="s">
        <v>4</v>
      </c>
      <c r="E66" s="10">
        <f>E38</f>
        <v>416.66666666666669</v>
      </c>
      <c r="F66" s="11">
        <f t="shared" ref="F66:F68" si="10">E66*F57</f>
        <v>1166666.6666666667</v>
      </c>
      <c r="G66">
        <f t="shared" ref="G66:G68" si="11">D57</f>
        <v>80</v>
      </c>
      <c r="H66" s="12">
        <f t="shared" ref="H66:H68" si="12">F66/G66</f>
        <v>14583.333333333334</v>
      </c>
    </row>
    <row r="67" spans="2:8" x14ac:dyDescent="0.45">
      <c r="B67" t="str">
        <f t="shared" ref="B67:C67" si="13">B58</f>
        <v>A3</v>
      </c>
      <c r="C67" t="str">
        <f t="shared" si="13"/>
        <v>Procesar factura de proveedor</v>
      </c>
      <c r="D67" t="s">
        <v>5</v>
      </c>
      <c r="E67" s="10">
        <f>E39</f>
        <v>416.66666666666669</v>
      </c>
      <c r="F67" s="11">
        <f t="shared" si="10"/>
        <v>4333333.333333334</v>
      </c>
      <c r="G67">
        <f t="shared" si="11"/>
        <v>400</v>
      </c>
      <c r="H67" s="12">
        <f t="shared" si="12"/>
        <v>10833.333333333336</v>
      </c>
    </row>
    <row r="68" spans="2:8" x14ac:dyDescent="0.45">
      <c r="B68" t="str">
        <f t="shared" ref="B68:C68" si="14">B59</f>
        <v>A4</v>
      </c>
      <c r="C68" t="str">
        <f t="shared" si="14"/>
        <v>Emitir pago a proveedores</v>
      </c>
      <c r="D68" t="s">
        <v>5</v>
      </c>
      <c r="E68" s="10">
        <f>E39</f>
        <v>416.66666666666669</v>
      </c>
      <c r="F68" s="11">
        <f t="shared" si="10"/>
        <v>2291666.666666667</v>
      </c>
      <c r="G68">
        <f t="shared" si="11"/>
        <v>250</v>
      </c>
      <c r="H68" s="12">
        <f t="shared" si="12"/>
        <v>9166.6666666666679</v>
      </c>
    </row>
    <row r="70" spans="2:8" x14ac:dyDescent="0.45">
      <c r="B70" s="1" t="s">
        <v>68</v>
      </c>
    </row>
    <row r="72" spans="2:8" x14ac:dyDescent="0.45">
      <c r="B72" t="s">
        <v>56</v>
      </c>
      <c r="C72" t="s">
        <v>69</v>
      </c>
      <c r="D72" t="s">
        <v>71</v>
      </c>
      <c r="E72" t="s">
        <v>72</v>
      </c>
      <c r="F72" t="s">
        <v>73</v>
      </c>
      <c r="G72" t="s">
        <v>74</v>
      </c>
      <c r="H72" t="s">
        <v>75</v>
      </c>
    </row>
    <row r="73" spans="2:8" x14ac:dyDescent="0.45">
      <c r="B73" t="s">
        <v>4</v>
      </c>
      <c r="C73" t="s">
        <v>70</v>
      </c>
      <c r="D73" s="4">
        <f>C38</f>
        <v>28800</v>
      </c>
      <c r="E73" s="4">
        <f>F56+F57</f>
        <v>17300</v>
      </c>
      <c r="F73" s="9">
        <f>D73-E73</f>
        <v>11500</v>
      </c>
      <c r="G73" s="9">
        <f>F73*E38</f>
        <v>4791666.666666667</v>
      </c>
      <c r="H73" s="3">
        <f>F73/D73</f>
        <v>0.39930555555555558</v>
      </c>
    </row>
    <row r="74" spans="2:8" x14ac:dyDescent="0.45">
      <c r="B74" t="s">
        <v>5</v>
      </c>
      <c r="C74" t="s">
        <v>12</v>
      </c>
      <c r="D74" s="4">
        <f>C39</f>
        <v>19200</v>
      </c>
      <c r="E74" s="4">
        <f>F58+F59</f>
        <v>15900</v>
      </c>
      <c r="F74" s="9">
        <f>D74-E74</f>
        <v>3300</v>
      </c>
      <c r="G74" s="9">
        <f>F74*E39</f>
        <v>1375000</v>
      </c>
      <c r="H74" s="3">
        <f>F74/D74</f>
        <v>0.171875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bastidas</dc:creator>
  <cp:lastModifiedBy>martin bastidas</cp:lastModifiedBy>
  <dcterms:created xsi:type="dcterms:W3CDTF">2015-06-05T18:19:34Z</dcterms:created>
  <dcterms:modified xsi:type="dcterms:W3CDTF">2026-09-25T21:36:23Z</dcterms:modified>
</cp:coreProperties>
</file>